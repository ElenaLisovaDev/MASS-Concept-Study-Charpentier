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Profile &amp; Summary" sheetId="1" state="visible" r:id="rId1"/>
    <sheet xmlns:r="http://schemas.openxmlformats.org/officeDocument/2006/relationships" name="Complianc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4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5" customWidth="1" min="3" max="3"/>
  </cols>
  <sheetData>
    <row r="1">
      <c r="A1" s="1" t="inlineStr">
        <is>
          <t>CHARPENTIER SHIPYARD — MASS CONCEPT STUDY</t>
        </is>
      </c>
    </row>
    <row r="2"/>
    <row r="3">
      <c r="A3" s="2" t="inlineStr">
        <is>
          <t>24m Civilian Automated/Remote Monitoring Submarine — Göteborg Harbour Operations</t>
        </is>
      </c>
    </row>
    <row r="5">
      <c r="A5" s="3" t="inlineStr">
        <is>
          <t>System Parameter</t>
        </is>
      </c>
      <c r="B5" s="3" t="inlineStr">
        <is>
          <t>Specification Value</t>
        </is>
      </c>
    </row>
    <row r="6">
      <c r="A6" s="4" t="inlineStr">
        <is>
          <t>Vessel Type</t>
        </is>
      </c>
      <c r="B6" s="5" t="inlineStr">
        <is>
          <t>Autonomous &amp; Remotely Controlled Civilian Submarine / Uncrewed Submersible</t>
        </is>
      </c>
    </row>
    <row r="7">
      <c r="A7" s="6" t="inlineStr">
        <is>
          <t>Length Overall (LOA)</t>
        </is>
      </c>
      <c r="B7" s="7" t="inlineStr">
        <is>
          <t>24.0 meters</t>
        </is>
      </c>
    </row>
    <row r="8">
      <c r="A8" s="4" t="inlineStr">
        <is>
          <t>Primary Mission</t>
        </is>
      </c>
      <c r="B8" s="5" t="inlineStr">
        <is>
          <t>Automated Environmental Monitoring &amp; Port Security / Criminal Patrol</t>
        </is>
      </c>
    </row>
    <row r="9">
      <c r="A9" s="6" t="inlineStr">
        <is>
          <t>Operational Area</t>
        </is>
      </c>
      <c r="B9" s="7" t="inlineStr">
        <is>
          <t>Göteborg Harbour, Sweden (Inshore / Coastal / Estuary)</t>
        </is>
      </c>
    </row>
    <row r="10">
      <c r="A10" s="4" t="inlineStr">
        <is>
          <t>Mode of Operation</t>
        </is>
      </c>
      <c r="B10" s="5" t="inlineStr">
        <is>
          <t>Fully Automated Patrol with Remote Operations Centre (ROC) Supervision</t>
        </is>
      </c>
    </row>
    <row r="11">
      <c r="A11" s="6" t="inlineStr">
        <is>
          <t>Depth Rating</t>
        </is>
      </c>
      <c r="B11" s="7" t="inlineStr">
        <is>
          <t>Shallow Water / Inshore Submerged Operations (up to 50m)</t>
        </is>
      </c>
    </row>
    <row r="12">
      <c r="A12" s="4" t="inlineStr">
        <is>
          <t>Key Regulatory Frameworks</t>
        </is>
      </c>
      <c r="B12" s="5" t="inlineStr">
        <is>
          <t>IMO MASS Code, COLREGs, SOLAS, EU CRA, NATO STANAGs, DNV-CG-0264, LR UMS</t>
        </is>
      </c>
    </row>
    <row r="15">
      <c r="A15" s="3" t="inlineStr">
        <is>
          <t>Workflow Stage</t>
        </is>
      </c>
      <c r="B15" s="3" t="inlineStr">
        <is>
          <t>Requirement Count</t>
        </is>
      </c>
      <c r="C15" s="3" t="inlineStr">
        <is>
          <t>Primary Engineering Scope</t>
        </is>
      </c>
    </row>
    <row r="16">
      <c r="A16" s="4" t="inlineStr">
        <is>
          <t>Regulatory Analysis</t>
        </is>
      </c>
      <c r="B16" s="8">
        <f>COUNTIF('Compliance Matrix'!H$5:H$35, "*Regulatory Analysis*")</f>
        <v/>
      </c>
      <c r="C16" s="5" t="inlineStr">
        <is>
          <t>Regulatory mapping &amp; legal/safety baseline compliance</t>
        </is>
      </c>
    </row>
    <row r="17">
      <c r="A17" s="6" t="inlineStr">
        <is>
          <t>Requirements Derivation</t>
        </is>
      </c>
      <c r="B17" s="9">
        <f>COUNTIF('Compliance Matrix'!H$5:H$35, "*Requirements Derivation*")</f>
        <v/>
      </c>
      <c r="C17" s="7" t="inlineStr">
        <is>
          <t>Formal functional, operational, and performance requirements</t>
        </is>
      </c>
    </row>
    <row r="18">
      <c r="A18" s="4" t="inlineStr">
        <is>
          <t>SysML Modeling (SysON)</t>
        </is>
      </c>
      <c r="B18" s="8">
        <f>COUNTIF('Compliance Matrix'!H$5:H$35, "*SysML Modeling*")</f>
        <v/>
      </c>
      <c r="C18" s="5" t="inlineStr">
        <is>
          <t>MBSE structure, internal blocks, state machines &amp; activity diagrams</t>
        </is>
      </c>
    </row>
    <row r="19">
      <c r="A19" s="6" t="inlineStr">
        <is>
          <t>System Architecture</t>
        </is>
      </c>
      <c r="B19" s="9">
        <f>COUNTIF('Compliance Matrix'!H$5:H$35, "*System Architecture*")</f>
        <v/>
      </c>
      <c r="C19" s="7" t="inlineStr">
        <is>
          <t>Physical/logical allocation, communications, C2 and C4ISR design</t>
        </is>
      </c>
    </row>
    <row r="20">
      <c r="A20" s="4" t="inlineStr">
        <is>
          <t>Concept Design (FreeCAD)</t>
        </is>
      </c>
      <c r="B20" s="8">
        <f>COUNTIF('Compliance Matrix'!H$5:H$35, "*Concept Design*")</f>
        <v/>
      </c>
      <c r="C20" s="5" t="inlineStr">
        <is>
          <t>3D CAD modeling, hull structure, ballast tanks, payload integration</t>
        </is>
      </c>
    </row>
    <row r="21">
      <c r="A21" s="6" t="inlineStr">
        <is>
          <t>Visualization (Blender)</t>
        </is>
      </c>
      <c r="B21" s="9">
        <f>COUNTIF('Compliance Matrix'!H$5:H$35, "*Visualization*")</f>
        <v/>
      </c>
      <c r="C21" s="7" t="inlineStr">
        <is>
          <t>Photorealistic rendering, animations, water-surface transitions</t>
        </is>
      </c>
    </row>
    <row r="22">
      <c r="A22" s="4" t="inlineStr">
        <is>
          <t>UI/Digital Twin (Lovable)</t>
        </is>
      </c>
      <c r="B22" s="8">
        <f>COUNTIF('Compliance Matrix'!H$5:H$35, "*UI/Digital Twin*")</f>
        <v/>
      </c>
      <c r="C22" s="5" t="inlineStr">
        <is>
          <t>ROC dashboard design, digital twin telemetry, telemetry streams</t>
        </is>
      </c>
    </row>
    <row r="23">
      <c r="A23" s="6" t="inlineStr">
        <is>
          <t>Integrated MASS Demonstrator</t>
        </is>
      </c>
      <c r="B23" s="9">
        <f>COUNTIF('Compliance Matrix'!H$5:H$35, "*Integrated MASS Demonstrator*")</f>
        <v/>
      </c>
      <c r="C23" s="7" t="inlineStr">
        <is>
          <t>End-to-end integration, validation scenario &amp; demonstration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28" customWidth="1" min="4" max="4"/>
    <col width="45" customWidth="1" min="5" max="5"/>
    <col width="18" customWidth="1" min="6" max="6"/>
    <col width="18" customWidth="1" min="7" max="7"/>
    <col width="26" customWidth="1" min="8" max="8"/>
    <col width="26" customWidth="1" min="9" max="9"/>
    <col width="30" customWidth="1" min="10" max="10"/>
    <col width="32" customWidth="1" min="11" max="11"/>
    <col width="32" customWidth="1" min="12" max="12"/>
  </cols>
  <sheetData>
    <row r="1">
      <c r="A1" s="1" t="inlineStr">
        <is>
          <t>MASS CONCEPT STUDY — REGULATORY COMPLIANCE &amp; REQUIREMENTS TRACEABILITY MATRIX</t>
        </is>
      </c>
    </row>
    <row r="2"/>
    <row r="3">
      <c r="A3" s="2" t="inlineStr">
        <is>
          <t>24m Civilian Automated Harbour Submarine (Göteborg Harbour) | Requirements &amp; MBSE / CAD / UI Workflow Allocation</t>
        </is>
      </c>
    </row>
    <row r="4" ht="28" customHeight="1">
      <c r="A4" s="10" t="inlineStr">
        <is>
          <t>Req ID</t>
        </is>
      </c>
      <c r="B4" s="10" t="inlineStr">
        <is>
          <t>Domain / Category</t>
        </is>
      </c>
      <c r="C4" s="10" t="inlineStr">
        <is>
          <t>Applicable Standard / Regulation</t>
        </is>
      </c>
      <c r="D4" s="10" t="inlineStr">
        <is>
          <t>Requirement Title</t>
        </is>
      </c>
      <c r="E4" s="10" t="inlineStr">
        <is>
          <t>Detailed Requirement Description</t>
        </is>
      </c>
      <c r="F4" s="10" t="inlineStr">
        <is>
          <t>Verification Method</t>
        </is>
      </c>
      <c r="G4" s="10" t="inlineStr">
        <is>
          <t>Compliance Status</t>
        </is>
      </c>
      <c r="H4" s="10" t="inlineStr">
        <is>
          <t>Primary Engineering Workflow Stage</t>
        </is>
      </c>
      <c r="I4" s="10" t="inlineStr">
        <is>
          <t>Secondary Engineering Workflow Stage</t>
        </is>
      </c>
      <c r="J4" s="10" t="inlineStr">
        <is>
          <t>SysML Model Element (SysON)</t>
        </is>
      </c>
      <c r="K4" s="10" t="inlineStr">
        <is>
          <t>FreeCAD / Design Impact</t>
        </is>
      </c>
      <c r="L4" s="10" t="inlineStr">
        <is>
          <t>Lovable UI / ROC Feature</t>
        </is>
      </c>
    </row>
    <row r="5" ht="42" customHeight="1">
      <c r="A5" s="11" t="inlineStr">
        <is>
          <t>REQ-MASS-001</t>
        </is>
      </c>
      <c r="B5" s="12" t="inlineStr">
        <is>
          <t>Autonomy &amp; Fallback State</t>
        </is>
      </c>
      <c r="C5" s="12" t="inlineStr">
        <is>
          <t>IMO MASS Code (MSC.595(111)) / DNV-CG-0264</t>
        </is>
      </c>
      <c r="D5" s="12" t="inlineStr">
        <is>
          <t>Autonomous Fallback &amp; Safe Submerged State</t>
        </is>
      </c>
      <c r="E5" s="12" t="inlineStr">
        <is>
          <t>The vessel shall automatically transition to a deterministic Minimal Risk Condition (MRC) upon loss of telemetry/C2 link exceeding 30 seconds. In Göteborg harbour shallow waters, MRC shall include auto-surfacing in designated clear zones or sitting on sea bottom in restricted channels.</t>
        </is>
      </c>
      <c r="F5" s="13" t="inlineStr">
        <is>
          <t>Simulation &amp; Test</t>
        </is>
      </c>
      <c r="G5" s="13" t="inlineStr">
        <is>
          <t>Compliant</t>
        </is>
      </c>
      <c r="H5" s="12" t="inlineStr">
        <is>
          <t>SysML Modeling (SysON)</t>
        </is>
      </c>
      <c r="I5" s="12" t="inlineStr">
        <is>
          <t>System Architecture</t>
        </is>
      </c>
      <c r="J5" s="12" t="inlineStr">
        <is>
          <t>State Machine Diagram (ModeSwitch::MRC)</t>
        </is>
      </c>
      <c r="K5" s="12" t="inlineStr">
        <is>
          <t>Emergency ballast blow valves &amp; dead-man weight drop system</t>
        </is>
      </c>
      <c r="L5" s="12" t="inlineStr">
        <is>
          <t>ROC C2 Loss Alert &amp; Automated MRC Recovery Trigger Panel</t>
        </is>
      </c>
    </row>
    <row r="6" ht="42" customHeight="1">
      <c r="A6" s="14" t="inlineStr">
        <is>
          <t>REQ-MASS-002</t>
        </is>
      </c>
      <c r="B6" s="15" t="inlineStr">
        <is>
          <t>Remote Operations Centre (ROC)</t>
        </is>
      </c>
      <c r="C6" s="15" t="inlineStr">
        <is>
          <t>IMO MASS Code / STCW / DNV-CG-0264</t>
        </is>
      </c>
      <c r="D6" s="15" t="inlineStr">
        <is>
          <t>Remote Supervision &amp; Override Capability</t>
        </is>
      </c>
      <c r="E6" s="15" t="inlineStr">
        <is>
          <t>The ROC shall provide real-time situational awareness (latency &lt; 200ms) and permit human remote operators to manually override autonomous navigation and ballast/depth control at any time.</t>
        </is>
      </c>
      <c r="F6" s="16" t="inlineStr">
        <is>
          <t>Demonstration</t>
        </is>
      </c>
      <c r="G6" s="16" t="inlineStr">
        <is>
          <t>Compliant</t>
        </is>
      </c>
      <c r="H6" s="15" t="inlineStr">
        <is>
          <t>UI/Digital Twin (Lovable)</t>
        </is>
      </c>
      <c r="I6" s="15" t="inlineStr">
        <is>
          <t>Integrated MASS Demonstrator</t>
        </is>
      </c>
      <c r="J6" s="15" t="inlineStr">
        <is>
          <t>Use Case Diagram (UC_RemoteOverride)</t>
        </is>
      </c>
      <c r="K6" s="15" t="inlineStr">
        <is>
          <t>Acoustic/RF modem payload placement &amp; surface mast antenna</t>
        </is>
      </c>
      <c r="L6" s="15" t="inlineStr">
        <is>
          <t>Interactive Remote Joystick Control &amp; Streamed Telemetry Dashboard</t>
        </is>
      </c>
    </row>
    <row r="7" ht="42" customHeight="1">
      <c r="A7" s="11" t="inlineStr">
        <is>
          <t>REQ-MASS-003</t>
        </is>
      </c>
      <c r="B7" s="12" t="inlineStr">
        <is>
          <t>Risk-Based Safety Assessment</t>
        </is>
      </c>
      <c r="C7" s="12" t="inlineStr">
        <is>
          <t>IMO MASS Code / DNV-CG-0264</t>
        </is>
      </c>
      <c r="D7" s="12" t="inlineStr">
        <is>
          <t>Hazid &amp; Risk Analysis for Uncrewed Submarine</t>
        </is>
      </c>
      <c r="E7" s="12" t="inlineStr">
        <is>
          <t>A quantitative HAZID/HAZOP risk assessment shall be performed covering collision risk with surface traffic, entanglement in fishing gear/ropes, and underwater collision in Göteborg harbour fairways.</t>
        </is>
      </c>
      <c r="F7" s="13" t="inlineStr">
        <is>
          <t>Analysis</t>
        </is>
      </c>
      <c r="G7" s="13" t="inlineStr">
        <is>
          <t>Compliant</t>
        </is>
      </c>
      <c r="H7" s="12" t="inlineStr">
        <is>
          <t>Regulatory Analysis</t>
        </is>
      </c>
      <c r="I7" s="12" t="inlineStr">
        <is>
          <t>Requirements Derivation</t>
        </is>
      </c>
      <c r="J7" s="12" t="inlineStr">
        <is>
          <t>Requirement Diagram (Req_HazardMitigation)</t>
        </is>
      </c>
      <c r="K7" s="12" t="inlineStr">
        <is>
          <t>Sonar sensor coverage clearance &amp; hull impact protection</t>
        </is>
      </c>
      <c r="L7" s="12" t="inlineStr">
        <is>
          <t>Safety Hazard Matrix Panel &amp; Risk Alarm Displays</t>
        </is>
      </c>
    </row>
    <row r="8" ht="42" customHeight="1">
      <c r="A8" s="14" t="inlineStr">
        <is>
          <t>REQ-COLREG-001</t>
        </is>
      </c>
      <c r="B8" s="15" t="inlineStr">
        <is>
          <t>Surfaced Look-out (Rule 5)</t>
        </is>
      </c>
      <c r="C8" s="15" t="inlineStr">
        <is>
          <t>COLREGs Rule 5 / SOLAS Ch. V</t>
        </is>
      </c>
      <c r="D8" s="15" t="inlineStr">
        <is>
          <t>Multimodal Sensor Fusion for Lookout</t>
        </is>
      </c>
      <c r="E8" s="15" t="inlineStr">
        <is>
          <t>When operating on the surface or at periscope depth, the system shall maintain a continuous 360° visual, thermal, and radar/lidar lookout using fused sensor streams to detect obstacles, kayaks, and port traffic.</t>
        </is>
      </c>
      <c r="F8" s="16" t="inlineStr">
        <is>
          <t>Inspection &amp; Test</t>
        </is>
      </c>
      <c r="G8" s="16" t="inlineStr">
        <is>
          <t>Compliant</t>
        </is>
      </c>
      <c r="H8" s="15" t="inlineStr">
        <is>
          <t>System Architecture</t>
        </is>
      </c>
      <c r="I8" s="15" t="inlineStr">
        <is>
          <t>SysML Modeling (SysON)</t>
        </is>
      </c>
      <c r="J8" s="15" t="inlineStr">
        <is>
          <t>Block Definition Diagram (BDD_SensorFusion)</t>
        </is>
      </c>
      <c r="K8" s="15" t="inlineStr">
        <is>
          <t>Optronic mast housing (EO/IR, Lidar, Radar, AIS mast)</t>
        </is>
      </c>
      <c r="L8" s="15" t="inlineStr">
        <is>
          <t>360° Camera Grid Stream &amp; Fused Obstacle Target Overlays</t>
        </is>
      </c>
    </row>
    <row r="9" ht="42" customHeight="1">
      <c r="A9" s="11" t="inlineStr">
        <is>
          <t>REQ-COLREG-002</t>
        </is>
      </c>
      <c r="B9" s="12" t="inlineStr">
        <is>
          <t>Submerged Navigation &amp; Collision Avoidance</t>
        </is>
      </c>
      <c r="C9" s="12" t="inlineStr">
        <is>
          <t>COLREGs Rules 8 &amp; 18 / IMO MASS Code</t>
        </is>
      </c>
      <c r="D9" s="12" t="inlineStr">
        <is>
          <t>Underwater Acoustic Avoidance Algorithm</t>
        </is>
      </c>
      <c r="E9" s="12" t="inlineStr">
        <is>
          <t>When submerged, the vessel shall utilize forward-looking sonar (FLS) and passive hydrophones to detect submerged obstacles, seabed bathymetry, and surface ship hulls, executing automated COLREG-compliant evasive manoeuvres.</t>
        </is>
      </c>
      <c r="F9" s="13" t="inlineStr">
        <is>
          <t>Simulation</t>
        </is>
      </c>
      <c r="G9" s="13" t="inlineStr">
        <is>
          <t>Compliant</t>
        </is>
      </c>
      <c r="H9" s="12" t="inlineStr">
        <is>
          <t>Requirements Derivation</t>
        </is>
      </c>
      <c r="I9" s="12" t="inlineStr">
        <is>
          <t>SysML Modeling (SysON)</t>
        </is>
      </c>
      <c r="J9" s="12" t="inlineStr">
        <is>
          <t>Activity Diagram (Act_AvoidanceManoeuvre)</t>
        </is>
      </c>
      <c r="K9" s="12" t="inlineStr">
        <is>
          <t>Forward Looking Sonar array &amp; Acoustic Transducer fairings</t>
        </is>
      </c>
      <c r="L9" s="12" t="inlineStr">
        <is>
          <t>Sonar Waterfall Display &amp; 3D Spatial Obstacle Vector View</t>
        </is>
      </c>
    </row>
    <row r="10" ht="42" customHeight="1">
      <c r="A10" s="14" t="inlineStr">
        <is>
          <t>REQ-COLREG-003</t>
        </is>
      </c>
      <c r="B10" s="15" t="inlineStr">
        <is>
          <t>Navigational Signals &amp; Day Shapes</t>
        </is>
      </c>
      <c r="C10" s="15" t="inlineStr">
        <is>
          <t>COLREGs Rules 20, 24, 27</t>
        </is>
      </c>
      <c r="D10" s="15" t="inlineStr">
        <is>
          <t>Submarine Surface Navigation Lights &amp; Signals</t>
        </is>
      </c>
      <c r="E10" s="15" t="inlineStr">
        <is>
          <t>The vessel shall feature automated LED navigation lights, an amber flashing light (standard for submarines on surface), and sound signal transducers compliant with inland/coastal navigation rules.</t>
        </is>
      </c>
      <c r="F10" s="16" t="inlineStr">
        <is>
          <t>Inspection</t>
        </is>
      </c>
      <c r="G10" s="16" t="inlineStr">
        <is>
          <t>Compliant</t>
        </is>
      </c>
      <c r="H10" s="15" t="inlineStr">
        <is>
          <t>Concept Design (FreeCAD)</t>
        </is>
      </c>
      <c r="I10" s="15" t="inlineStr">
        <is>
          <t>Visualization (Blender)</t>
        </is>
      </c>
      <c r="J10" s="15" t="inlineStr">
        <is>
          <t>Internal Block Diagram (IBD_LightingControl)</t>
        </is>
      </c>
      <c r="K10" s="15" t="inlineStr">
        <is>
          <t>CAD placement of LED light fixtures, amber strobe, sound horn</t>
        </is>
      </c>
      <c r="L10" s="15" t="inlineStr">
        <is>
          <t>Light State Indicator Panel (NavLights Active/Fault)</t>
        </is>
      </c>
    </row>
    <row r="11" ht="42" customHeight="1">
      <c r="A11" s="11" t="inlineStr">
        <is>
          <t>REQ-SOLAS-001</t>
        </is>
      </c>
      <c r="B11" s="12" t="inlineStr">
        <is>
          <t>Buoyancy &amp; Submerged Stability</t>
        </is>
      </c>
      <c r="C11" s="12" t="inlineStr">
        <is>
          <t>SOLAS Ch. II-1 / DNV Submarine Rules</t>
        </is>
      </c>
      <c r="D11" s="12" t="inlineStr">
        <is>
          <t>Reserve Buoyancy &amp; Ballast Control System</t>
        </is>
      </c>
      <c r="E11" s="12" t="inlineStr">
        <is>
          <t>The 24m submarine hull design shall maintain positive reserve buoyancy of at least 15% on surface, with dual-redundant main ballast tanks (MBT) and variable ballast tanks (VBT) for trim and depth control.</t>
        </is>
      </c>
      <c r="F11" s="13" t="inlineStr">
        <is>
          <t>Analysis &amp; Calculation</t>
        </is>
      </c>
      <c r="G11" s="13" t="inlineStr">
        <is>
          <t>Compliant</t>
        </is>
      </c>
      <c r="H11" s="12" t="inlineStr">
        <is>
          <t>Concept Design (FreeCAD)</t>
        </is>
      </c>
      <c r="I11" s="12" t="inlineStr">
        <is>
          <t>SysML Modeling (SysON)</t>
        </is>
      </c>
      <c r="J11" s="12" t="inlineStr">
        <is>
          <t>Parametric Diagram (Par_BuoyancyHydrostatics)</t>
        </is>
      </c>
      <c r="K11" s="12" t="inlineStr">
        <is>
          <t>3D Hull geometry, pressure hull framing, MBT/VBT tank sizing</t>
        </is>
      </c>
      <c r="L11" s="12" t="inlineStr">
        <is>
          <t>Ballast Tank Level Gauges &amp; Trim/Heel Digital Twin Gauge</t>
        </is>
      </c>
    </row>
    <row r="12" ht="42" customHeight="1">
      <c r="A12" s="14" t="inlineStr">
        <is>
          <t>REQ-SOLAS-002</t>
        </is>
      </c>
      <c r="B12" s="15" t="inlineStr">
        <is>
          <t>Emergency Surfacing &amp; Drop Weight</t>
        </is>
      </c>
      <c r="C12" s="15" t="inlineStr">
        <is>
          <t>SOLAS Ch. II-1 / Bureau Veritas UMS</t>
        </is>
      </c>
      <c r="D12" s="15" t="inlineStr">
        <is>
          <t>Failsafe Fail-Passive Surfacing System</t>
        </is>
      </c>
      <c r="E12" s="15" t="inlineStr">
        <is>
          <t>An independent failsafe drop-weight system or compressed air emergency blow shall automatically activate upon total power failure or structural pressure breach to bring the submarine to the surface.</t>
        </is>
      </c>
      <c r="F12" s="16" t="inlineStr">
        <is>
          <t>Test &amp; Inspection</t>
        </is>
      </c>
      <c r="G12" s="16" t="inlineStr">
        <is>
          <t>Compliant</t>
        </is>
      </c>
      <c r="H12" s="15" t="inlineStr">
        <is>
          <t>Concept Design (FreeCAD)</t>
        </is>
      </c>
      <c r="I12" s="15" t="inlineStr">
        <is>
          <t>System Architecture</t>
        </is>
      </c>
      <c r="J12" s="15" t="inlineStr">
        <is>
          <t>Internal Block Diagram (IBD_EmergencySurfacing)</t>
        </is>
      </c>
      <c r="K12" s="15" t="inlineStr">
        <is>
          <t>Drop weight electro-magnetic release mechanism &amp; air flask CAD</t>
        </is>
      </c>
      <c r="L12" s="15" t="inlineStr">
        <is>
          <t>Emergency Blow Manual Soft-Button &amp; Depth Alarm Indicator</t>
        </is>
      </c>
    </row>
    <row r="13" ht="42" customHeight="1">
      <c r="A13" s="11" t="inlineStr">
        <is>
          <t>REQ-SOLAS-003</t>
        </is>
      </c>
      <c r="B13" s="12" t="inlineStr">
        <is>
          <t>Radiocommunications &amp; Tracking</t>
        </is>
      </c>
      <c r="C13" s="12" t="inlineStr">
        <is>
          <t>SOLAS Ch. IV / VDES Standard</t>
        </is>
      </c>
      <c r="D13" s="12" t="inlineStr">
        <is>
          <t>Multi-Band Telemetry &amp; VDES / AIS Transponder</t>
        </is>
      </c>
      <c r="E13" s="12" t="inlineStr">
        <is>
          <t>The vessel shall transmit continuous Class A AIS / VDES data, surface satellite link telemetry, and underwater acoustic telemetry to ensure continuous port radar and ROC tracking.</t>
        </is>
      </c>
      <c r="F13" s="13" t="inlineStr">
        <is>
          <t>Test</t>
        </is>
      </c>
      <c r="G13" s="13" t="inlineStr">
        <is>
          <t>Compliant</t>
        </is>
      </c>
      <c r="H13" s="12" t="inlineStr">
        <is>
          <t>System Architecture</t>
        </is>
      </c>
      <c r="I13" s="12" t="inlineStr">
        <is>
          <t>UI/Digital Twin (Lovable)</t>
        </is>
      </c>
      <c r="J13" s="12" t="inlineStr">
        <is>
          <t>Block Definition Diagram (BDD_CommsSubsystem)</t>
        </is>
      </c>
      <c r="K13" s="12" t="inlineStr">
        <is>
          <t>Surface extendable antenna mast &amp; acoustic modem transducer</t>
        </is>
      </c>
      <c r="L13" s="12" t="inlineStr">
        <is>
          <t>Real-time GPS/Acoustic Tracking Map on Harbour Chart</t>
        </is>
      </c>
    </row>
    <row r="14" ht="42" customHeight="1">
      <c r="A14" s="14" t="inlineStr">
        <is>
          <t>REQ-EUREG-001</t>
        </is>
      </c>
      <c r="B14" s="15" t="inlineStr">
        <is>
          <t>Cyber Security &amp; Encryption</t>
        </is>
      </c>
      <c r="C14" s="15" t="inlineStr">
        <is>
          <t>EU Cyber Resilience Act / IACS UR E26 &amp; E27</t>
        </is>
      </c>
      <c r="D14" s="15" t="inlineStr">
        <is>
          <t>Secure C2 Telemetry &amp; Encryption Baseline</t>
        </is>
      </c>
      <c r="E14" s="15" t="inlineStr">
        <is>
          <t>All wireless Command and Control (C2) and video/data links between the submarine, surface buoy, and ROC shall use AES-256 end-to-end encryption with hardware security module (HSM) authentication.</t>
        </is>
      </c>
      <c r="F14" s="16" t="inlineStr">
        <is>
          <t>Inspection &amp; Cyber Audit</t>
        </is>
      </c>
      <c r="G14" s="16" t="inlineStr">
        <is>
          <t>Compliant</t>
        </is>
      </c>
      <c r="H14" s="15" t="inlineStr">
        <is>
          <t>System Architecture</t>
        </is>
      </c>
      <c r="I14" s="15" t="inlineStr">
        <is>
          <t>Regulatory Analysis</t>
        </is>
      </c>
      <c r="J14" s="15" t="inlineStr">
        <is>
          <t>Requirement Diagram (Req_CyberSecurity)</t>
        </is>
      </c>
      <c r="K14" s="15" t="inlineStr">
        <is>
          <t>Hardware Security Module (HSM) &amp; Secure Gateway Enclosure</t>
        </is>
      </c>
      <c r="L14" s="15" t="inlineStr">
        <is>
          <t>Link Security Status Indicator &amp; Encryption Key Management Panel</t>
        </is>
      </c>
    </row>
    <row r="15" ht="42" customHeight="1">
      <c r="A15" s="11" t="inlineStr">
        <is>
          <t>REQ-EUREG-002</t>
        </is>
      </c>
      <c r="B15" s="12" t="inlineStr">
        <is>
          <t>Machinery Operational Safety</t>
        </is>
      </c>
      <c r="C15" s="12" t="inlineStr">
        <is>
          <t>EU Machinery Regulation (EU) 2023/1230</t>
        </is>
      </c>
      <c r="D15" s="12" t="inlineStr">
        <is>
          <t>Propulsion &amp; Battery Safety Interlocks</t>
        </is>
      </c>
      <c r="E15" s="12" t="inlineStr">
        <is>
          <t>Electric propulsion drives and Lithium-Ion battery pods shall feature redundant thermal run-away protection, emergency isolation contactors, and automated gas suppression.</t>
        </is>
      </c>
      <c r="F15" s="13" t="inlineStr">
        <is>
          <t>Test &amp; Certificate</t>
        </is>
      </c>
      <c r="G15" s="13" t="inlineStr">
        <is>
          <t>Compliant</t>
        </is>
      </c>
      <c r="H15" s="12" t="inlineStr">
        <is>
          <t>Requirements Derivation</t>
        </is>
      </c>
      <c r="I15" s="12" t="inlineStr">
        <is>
          <t>Concept Design (FreeCAD)</t>
        </is>
      </c>
      <c r="J15" s="12" t="inlineStr">
        <is>
          <t>Internal Block Diagram (IBD_PowerDistribution)</t>
        </is>
      </c>
      <c r="K15" s="12" t="inlineStr">
        <is>
          <t>Pressure-neutral battery compartment pods &amp; isolation relays</t>
        </is>
      </c>
      <c r="L15" s="12" t="inlineStr">
        <is>
          <t>Battery Thermal &amp; Voltage Health Monitoring Gauges</t>
        </is>
      </c>
    </row>
    <row r="16" ht="42" customHeight="1">
      <c r="A16" s="14" t="inlineStr">
        <is>
          <t>REQ-EUREG-003</t>
        </is>
      </c>
      <c r="B16" s="15" t="inlineStr">
        <is>
          <t>Environmental Equipment Approval</t>
        </is>
      </c>
      <c r="C16" s="15" t="inlineStr">
        <is>
          <t>EU Marine Equipment Directive (MED) 2014/90/EU</t>
        </is>
      </c>
      <c r="D16" s="15" t="inlineStr">
        <is>
          <t>Type-Approved Environmental Sensors</t>
        </is>
      </c>
      <c r="E16" s="15" t="inlineStr">
        <is>
          <t>Environmental monitoring payload sensors (water quality, oil-in-water, turbidity, chemical detectors) shall be marine certified and isolated from critical propulsion control networks.</t>
        </is>
      </c>
      <c r="F16" s="16" t="inlineStr">
        <is>
          <t>Inspection</t>
        </is>
      </c>
      <c r="G16" s="16" t="inlineStr">
        <is>
          <t>Compliant</t>
        </is>
      </c>
      <c r="H16" s="15" t="inlineStr">
        <is>
          <t>System Architecture</t>
        </is>
      </c>
      <c r="I16" s="15" t="inlineStr">
        <is>
          <t>Integrated MASS Demonstrator</t>
        </is>
      </c>
      <c r="J16" s="15" t="inlineStr">
        <is>
          <t>Block Definition Diagram (BDD_PayloadArchitecture)</t>
        </is>
      </c>
      <c r="K16" s="15" t="inlineStr">
        <is>
          <t>Wet-payload bay design with acoustic isolation and water sampling</t>
        </is>
      </c>
      <c r="L16" s="15" t="inlineStr">
        <is>
          <t>Real-Time Water Quality / Environmental Incident Map Overlay</t>
        </is>
      </c>
    </row>
    <row r="17" ht="42" customHeight="1">
      <c r="A17" s="11" t="inlineStr">
        <is>
          <t>REQ-NATO-001</t>
        </is>
      </c>
      <c r="B17" s="12" t="inlineStr">
        <is>
          <t>Standard Control Interface</t>
        </is>
      </c>
      <c r="C17" s="12" t="inlineStr">
        <is>
          <t>NATO STANAG 4586 / STANAG 4818</t>
        </is>
      </c>
      <c r="D17" s="12" t="inlineStr">
        <is>
          <t>Interoperable UCS Telemetry Protocol</t>
        </is>
      </c>
      <c r="E17" s="12" t="inlineStr">
        <is>
          <t>The command control interface shall comply with STANAG 4586 architecture to allow integration into broader naval or harbour security joint operations platforms.</t>
        </is>
      </c>
      <c r="F17" s="13" t="inlineStr">
        <is>
          <t>Test &amp; Protocol Audit</t>
        </is>
      </c>
      <c r="G17" s="13" t="inlineStr">
        <is>
          <t>Compliant</t>
        </is>
      </c>
      <c r="H17" s="12" t="inlineStr">
        <is>
          <t>System Architecture</t>
        </is>
      </c>
      <c r="I17" s="12" t="inlineStr">
        <is>
          <t>UI/Digital Twin (Lovable)</t>
        </is>
      </c>
      <c r="J17" s="12" t="inlineStr">
        <is>
          <t>Internal Block Diagram (IBD_STANAG4586Interface)</t>
        </is>
      </c>
      <c r="K17" s="12" t="inlineStr">
        <is>
          <t>Modular C2 communications processor board mountings</t>
        </is>
      </c>
      <c r="L17" s="12" t="inlineStr">
        <is>
          <t>STANAG Compliant Message Feed &amp; Vehicle State Telemetry</t>
        </is>
      </c>
    </row>
    <row r="18" ht="42" customHeight="1">
      <c r="A18" s="14" t="inlineStr">
        <is>
          <t>REQ-NATO-002</t>
        </is>
      </c>
      <c r="B18" s="15" t="inlineStr">
        <is>
          <t>Acoustic &amp; Data Link Interoperability</t>
        </is>
      </c>
      <c r="C18" s="15" t="inlineStr">
        <is>
          <t>NATO STANAG 7085 / STANAG 4703</t>
        </is>
      </c>
      <c r="D18" s="15" t="inlineStr">
        <is>
          <t>High-Bandwidth Surface &amp; Underwater Data Link</t>
        </is>
      </c>
      <c r="E18" s="15" t="inlineStr">
        <is>
          <t>The vessel shall support high-bandwidth RF links when surfaced and optical/acoustic hybrid links when submerged for real-time surveillance video and sensor data export.</t>
        </is>
      </c>
      <c r="F18" s="16" t="inlineStr">
        <is>
          <t>Test</t>
        </is>
      </c>
      <c r="G18" s="16" t="inlineStr">
        <is>
          <t>Compliant</t>
        </is>
      </c>
      <c r="H18" s="15" t="inlineStr">
        <is>
          <t>System Architecture</t>
        </is>
      </c>
      <c r="I18" s="15" t="inlineStr">
        <is>
          <t>Concept Design (FreeCAD)</t>
        </is>
      </c>
      <c r="J18" s="15" t="inlineStr">
        <is>
          <t>Block Definition Diagram (BDD_DataLinks)</t>
        </is>
      </c>
      <c r="K18" s="15" t="inlineStr">
        <is>
          <t>Conformal hydrophone array and surface high-gain antenna</t>
        </is>
      </c>
      <c r="L18" s="15" t="inlineStr">
        <is>
          <t>Live Sensor Feed Selector (EO/IR vs Acoustic vs Side-Scan Sonar)</t>
        </is>
      </c>
    </row>
    <row r="19" ht="42" customHeight="1">
      <c r="A19" s="11" t="inlineStr">
        <is>
          <t>REQ-CLASS-001</t>
        </is>
      </c>
      <c r="B19" s="12" t="inlineStr">
        <is>
          <t>Class Notation &amp; Software Safety</t>
        </is>
      </c>
      <c r="C19" s="12" t="inlineStr">
        <is>
          <t>DNV-CG-0264 / LR UMS Code (AL4)</t>
        </is>
      </c>
      <c r="D19" s="12" t="inlineStr">
        <is>
          <t>Autonomous Navigation Software Verification</t>
        </is>
      </c>
      <c r="E19" s="12" t="inlineStr">
        <is>
          <t>The autonomous navigation and mission planner software shall be verified to LR UMS Autonomy Level AL4 (Human in the loop / Autonomous execution with remote operator approval).</t>
        </is>
      </c>
      <c r="F19" s="13" t="inlineStr">
        <is>
          <t>Analysis &amp; Virtual Testing</t>
        </is>
      </c>
      <c r="G19" s="13" t="inlineStr">
        <is>
          <t>Compliant</t>
        </is>
      </c>
      <c r="H19" s="12" t="inlineStr">
        <is>
          <t>Requirements Derivation</t>
        </is>
      </c>
      <c r="I19" s="12" t="inlineStr">
        <is>
          <t>SysML Modeling (SysON)</t>
        </is>
      </c>
      <c r="J19" s="12" t="inlineStr">
        <is>
          <t>State Machine Diagram (ModeSwitch::AutonomyLevels)</t>
        </is>
      </c>
      <c r="K19" s="12" t="inlineStr">
        <is>
          <t>N/A (Software Architecture Allocation)</t>
        </is>
      </c>
      <c r="L19" s="12" t="inlineStr">
        <is>
          <t>Autonomy Level Mode Switcher (AL1 - AL4 Selector)</t>
        </is>
      </c>
    </row>
    <row r="20" ht="42" customHeight="1">
      <c r="A20" s="14" t="inlineStr">
        <is>
          <t>REQ-CLASS-002</t>
        </is>
      </c>
      <c r="B20" s="15" t="inlineStr">
        <is>
          <t>Pressure Hull Design &amp; Structural Integrity</t>
        </is>
      </c>
      <c r="C20" s="15" t="inlineStr">
        <is>
          <t>DNV Rules for Submersibles / Bureau Veritas</t>
        </is>
      </c>
      <c r="D20" s="15" t="inlineStr">
        <is>
          <t>Pressure Hull Hydrostatic Strength at 50m</t>
        </is>
      </c>
      <c r="E20" s="15" t="inlineStr">
        <is>
          <t>The 24m pressure hull shall be constructed from marine steel or titanium alloy, designed to withstand a collapse depth factor of safety of 2.0 at max harbour operational depth (50m).</t>
        </is>
      </c>
      <c r="F20" s="16" t="inlineStr">
        <is>
          <t>FEA Analysis &amp; Hydrostatic Test</t>
        </is>
      </c>
      <c r="G20" s="16" t="inlineStr">
        <is>
          <t>Compliant</t>
        </is>
      </c>
      <c r="H20" s="15" t="inlineStr">
        <is>
          <t>Concept Design (FreeCAD)</t>
        </is>
      </c>
      <c r="I20" s="15" t="inlineStr">
        <is>
          <t>Visualization (Blender)</t>
        </is>
      </c>
      <c r="J20" s="15" t="inlineStr">
        <is>
          <t>Parametric Diagram (Par_PressureHullFEA)</t>
        </is>
      </c>
      <c r="K20" s="15" t="inlineStr">
        <is>
          <t>CAD geometry of pressure hull, ring stiffeners, bulkhead seals</t>
        </is>
      </c>
      <c r="L20" s="15" t="inlineStr">
        <is>
          <t>Hull Pressure &amp; Depth Telemetry Gauge</t>
        </is>
      </c>
    </row>
    <row r="21" ht="42" customHeight="1">
      <c r="A21" s="11" t="inlineStr">
        <is>
          <t>REQ-MISSION-001</t>
        </is>
      </c>
      <c r="B21" s="12" t="inlineStr">
        <is>
          <t>Environmental Monitoring Payload</t>
        </is>
      </c>
      <c r="C21" s="12" t="inlineStr">
        <is>
          <t>EU Water Framework Directive / Port Regulations</t>
        </is>
      </c>
      <c r="D21" s="12" t="inlineStr">
        <is>
          <t>Automated Water Quality Sampling &amp; Pollutant Detection</t>
        </is>
      </c>
      <c r="E21" s="12" t="inlineStr">
        <is>
          <t>The submarine payload bay shall house automated sensors for measuring water salinity, temperature, dissolved oxygen, hydrocarbon detection (oil spills), and heavy metals in Göteborg estuary.</t>
        </is>
      </c>
      <c r="F21" s="13" t="inlineStr">
        <is>
          <t>Test &amp; Field Sampling</t>
        </is>
      </c>
      <c r="G21" s="13" t="inlineStr">
        <is>
          <t>Compliant</t>
        </is>
      </c>
      <c r="H21" s="12" t="inlineStr">
        <is>
          <t>Concept Design (FreeCAD)</t>
        </is>
      </c>
      <c r="I21" s="12" t="inlineStr">
        <is>
          <t>UI/Digital Twin (Lovable)</t>
        </is>
      </c>
      <c r="J21" s="12" t="inlineStr">
        <is>
          <t>Block Definition Diagram (BDD_EnvironmentalPayload)</t>
        </is>
      </c>
      <c r="K21" s="12" t="inlineStr">
        <is>
          <t>Internal payload wet-bay, water intake valves, sensor manifold</t>
        </is>
      </c>
      <c r="L21" s="12" t="inlineStr">
        <is>
          <t>Environmental Monitoring Analytics Panel &amp; Spill Heatmap</t>
        </is>
      </c>
    </row>
    <row r="22" ht="42" customHeight="1">
      <c r="A22" s="14" t="inlineStr">
        <is>
          <t>REQ-MISSION-002</t>
        </is>
      </c>
      <c r="B22" s="15" t="inlineStr">
        <is>
          <t>Harbour Security &amp; Criminal Activity Patrol</t>
        </is>
      </c>
      <c r="C22" s="15" t="inlineStr">
        <is>
          <t>ISPS Code / Swedish Port Security Directives</t>
        </is>
      </c>
      <c r="D22" s="15" t="inlineStr">
        <is>
          <t>Automated Subsea Security Inspection &amp; Diver Detection</t>
        </is>
      </c>
      <c r="E22" s="15" t="inlineStr">
        <is>
          <t>The system shall perform automated hull inspection of commercial ships at anchor and underwater infrastructure monitoring (cables, pipelines), detecting unauthorized divers or subsea craft.</t>
        </is>
      </c>
      <c r="F22" s="16" t="inlineStr">
        <is>
          <t>Demonstration</t>
        </is>
      </c>
      <c r="G22" s="16" t="inlineStr">
        <is>
          <t>Compliant</t>
        </is>
      </c>
      <c r="H22" s="15" t="inlineStr">
        <is>
          <t>Integrated MASS Demonstrator</t>
        </is>
      </c>
      <c r="I22" s="15" t="inlineStr">
        <is>
          <t>Visualization (Blender)</t>
        </is>
      </c>
      <c r="J22" s="15" t="inlineStr">
        <is>
          <t>Use Case Diagram (UC_HarbourSecurityPatrol)</t>
        </is>
      </c>
      <c r="K22" s="15" t="inlineStr">
        <is>
          <t>Side-scan sonar &amp; multibeam echo sounder payload mounts</t>
        </is>
      </c>
      <c r="L22" s="15" t="inlineStr">
        <is>
          <t>3D Subsea Security Alert Map &amp; Diver Detection Bounding Box</t>
        </is>
      </c>
    </row>
    <row r="23" ht="42" customHeight="1">
      <c r="A23" s="11" t="inlineStr">
        <is>
          <t>REQ-MISSION-003</t>
        </is>
      </c>
      <c r="B23" s="12" t="inlineStr">
        <is>
          <t>Mission Endurance &amp; Propulsion</t>
        </is>
      </c>
      <c r="C23" s="12" t="inlineStr">
        <is>
          <t>Göteborg Port Operational Requirements</t>
        </is>
      </c>
      <c r="D23" s="12" t="inlineStr">
        <is>
          <t>24-Hour Patrol Endurance &amp; Low Acoustic Signatures</t>
        </is>
      </c>
      <c r="E23" s="12" t="inlineStr">
        <is>
          <t>The submarine shall achieve a minimum 24-hour continuous monitoring endurance at 4 knots patrol speed using electric battery power, with quiet propulsor design to minimize underwater noise.</t>
        </is>
      </c>
      <c r="F23" s="13" t="inlineStr">
        <is>
          <t>Analysis &amp; Sea Trial</t>
        </is>
      </c>
      <c r="G23" s="13" t="inlineStr">
        <is>
          <t>Compliant</t>
        </is>
      </c>
      <c r="H23" s="12" t="inlineStr">
        <is>
          <t>Requirements Derivation</t>
        </is>
      </c>
      <c r="I23" s="12" t="inlineStr">
        <is>
          <t>Concept Design (FreeCAD)</t>
        </is>
      </c>
      <c r="J23" s="12" t="inlineStr">
        <is>
          <t>Parametric Diagram (Par_PowerEndurance)</t>
        </is>
      </c>
      <c r="K23" s="12" t="inlineStr">
        <is>
          <t>Permanent Magnet Electric Motor &amp; Ducted Propulsor / Pump-jet CAD</t>
        </is>
      </c>
      <c r="L23" s="12" t="inlineStr">
        <is>
          <t>Power &amp; Range Remaining Calculator Panel</t>
        </is>
      </c>
    </row>
    <row r="24" ht="42" customHeight="1">
      <c r="A24" s="14" t="inlineStr">
        <is>
          <t>REQ-DEMO-001</t>
        </is>
      </c>
      <c r="B24" s="15" t="inlineStr">
        <is>
          <t>Photorealistic 3D Model &amp; Rendering</t>
        </is>
      </c>
      <c r="C24" s="15" t="inlineStr">
        <is>
          <t>MASS Project Visual Output Requirements</t>
        </is>
      </c>
      <c r="D24" s="15" t="inlineStr">
        <is>
          <t>A detailed photorealistic 3D model of the 24m submarine shall be rendered showing surface cruising, snorting/periscope depth, fully submerged monitoring, and payload bay deployment.</t>
        </is>
      </c>
      <c r="E24" s="15" t="inlineStr">
        <is>
          <t>Inspection</t>
        </is>
      </c>
      <c r="F24" s="16" t="inlineStr">
        <is>
          <t>Compliant</t>
        </is>
      </c>
      <c r="G24" s="16" t="inlineStr">
        <is>
          <t>Visualization (Blender)</t>
        </is>
      </c>
      <c r="H24" s="15" t="inlineStr">
        <is>
          <t>Integrated MASS Demonstrator</t>
        </is>
      </c>
      <c r="I24" s="15" t="inlineStr">
        <is>
          <t>N/A (Visualization Asset)</t>
        </is>
      </c>
      <c r="J24" s="15" t="inlineStr">
        <is>
          <t>Exported STEP / OBJ models from FreeCAD into Blender</t>
        </is>
      </c>
      <c r="K24" s="15" t="inlineStr">
        <is>
          <t>3D Interactive Hull View in Digital Twin Web Dashboard</t>
        </is>
      </c>
    </row>
    <row r="25" ht="42" customHeight="1">
      <c r="A25" s="11" t="inlineStr">
        <is>
          <t>REQ-DEMO-002</t>
        </is>
      </c>
      <c r="B25" s="12" t="inlineStr">
        <is>
          <t>End-to-End Integrated Demonstration</t>
        </is>
      </c>
      <c r="C25" s="12" t="inlineStr">
        <is>
          <t>MASS Concept Study Success Criteria</t>
        </is>
      </c>
      <c r="D25" s="12" t="inlineStr">
        <is>
          <t>The complete MASS project workflow shall be demonstrated via an integrated scenario: detecting an oil leak in Göteborg harbour, sending automated ROC alert, transitioning to manual ROC control, and verifying MBSE requirement traceability.</t>
        </is>
      </c>
      <c r="E25" s="12" t="inlineStr">
        <is>
          <t>Demonstration</t>
        </is>
      </c>
      <c r="F25" s="13" t="inlineStr">
        <is>
          <t>Integrated MASS Demonstrator</t>
        </is>
      </c>
      <c r="G25" s="13" t="inlineStr">
        <is>
          <t>UI/Digital Twin (Lovable)</t>
        </is>
      </c>
      <c r="H25" s="12" t="inlineStr">
        <is>
          <t>Activity Diagram (Act_FullMissionScenario)</t>
        </is>
      </c>
      <c r="I25" s="12" t="inlineStr">
        <is>
          <t>Full assembly FreeCAD CAD model</t>
        </is>
      </c>
      <c r="J25" s="12" t="inlineStr">
        <is>
          <t>Full Lovable ROC Web Interface with simulated mission rerun</t>
        </is>
      </c>
    </row>
  </sheetData>
  <mergeCells count="2">
    <mergeCell ref="A3:L3"/>
    <mergeCell ref="A1:L2"/>
  </mergeCells>
  <dataValidations count="1">
    <dataValidation sqref="G5:G25" showDropDown="0" showInputMessage="0" showErrorMessage="0" allowBlank="1" type="list">
      <formula1>"Compliant, Non-Compliant, Under Review, Partial"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2026-10-16T14:39:11Z</dcterms:created>
  <dcterms:modified xmlns:dcterms="http://purl.org/dc/terms/" xmlns:xsi="http://www.w3.org/2001/XMLSchema-instance" xsi:type="dcterms:W3CDTF">2026-10-16T14:39:11Z</dcterms:modified>
</cp:coreProperties>
</file>